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a7e188182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缺陷记录" sheetId="1" r:id="Rfad306285a1d41c6"/>
    <x:sheet xmlns:r="http://schemas.openxmlformats.org/officeDocument/2006/relationships" name="概览" sheetId="2" r:id="Rf06f3b7fd8f44aef"/>
    <x:sheet xmlns:r="http://schemas.openxmlformats.org/officeDocument/2006/relationships" name="填写说明" sheetId="3" r:id="R9e7ee94cf513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0"/>
      <x:color rgb="FF64748B"/>
      <x:name val="Carlito"/>
    </x:font>
    <x:font>
      <x:b/>
      <x:sz val="12"/>
      <x:color rgb="FF0F766E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  <x:dxf>
      <x:font>
        <x:color rgb="FF64748B"/>
      </x:font>
      <x:fill>
        <x:patternFill patternType="solid">
          <x:bgColor rgb="FFE2E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bc6573ca1423b" /><Relationship Type="http://schemas.openxmlformats.org/officeDocument/2006/relationships/theme" Target="/xl/theme/theme1.xml" Id="R2eb4926480e1498a" /><Relationship Type="http://schemas.openxmlformats.org/officeDocument/2006/relationships/sharedStrings" Target="/xl/sharedStrings.xml" Id="R0d824321063c4fc7" /><Relationship Type="http://schemas.openxmlformats.org/officeDocument/2006/relationships/worksheet" Target="/xl/worksheets/sheet1.xml" Id="Rfad306285a1d41c6" /><Relationship Type="http://schemas.openxmlformats.org/officeDocument/2006/relationships/worksheet" Target="/xl/worksheets/sheet2.xml" Id="Rf06f3b7fd8f44aef" /><Relationship Type="http://schemas.openxmlformats.org/officeDocument/2006/relationships/worksheet" Target="/xl/worksheets/sheet3.xml" Id="R9e7ee94cf51345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1fb2f20ae2485b" /><Relationship Type="http://schemas.openxmlformats.org/officeDocument/2006/relationships/chart" Target="/xl/drawings/charts/chart2.xml" Id="R061a06a6f5c149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严重度分布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条数</c:v>
          </c:tx>
          <c:cat>
            <c:strRef>
              <c:f>'概览'!$A$12:$A$14</c:f>
              <c:strCache>
                <c:ptCount val="0"/>
              </c:strCache>
            </c:strRef>
          </c:cat>
          <c:val>
            <c:numRef>
              <c:f>'概览'!$B$12:$B$14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条数</c:v>
          </c:tx>
          <c:cat>
            <c:strRef>
              <c:f>'概览'!$A$18:$A$21</c:f>
              <c:strCache>
                <c:ptCount val="0"/>
              </c:strCache>
            </c:strRef>
          </c:cat>
          <c:val>
            <c:numRef>
              <c:f>'概览'!$B$18:$B$21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1fb2f20ae2485b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1a06a6f5c149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fectTracker" displayName="DefectTracker" ref="A4:H44" headerRowCount="1">
  <x:autoFilter ref="A4:H44"/>
  <x:tableColumns count="8">
    <x:tableColumn id="1" name="编号"/>
    <x:tableColumn id="2" name="日期"/>
    <x:tableColumn id="3" name="在哪"/>
    <x:tableColumn id="4" name="操作"/>
    <x:tableColumn id="5" name="现象"/>
    <x:tableColumn id="6" name="期望"/>
    <x:tableColumn id="7" name="严重度"/>
    <x:tableColumn id="8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176624a47d45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97840ab6e6446c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1" hidden="0" customWidth="1"/>
    <x:col min="4" max="4" width="24" hidden="0" customWidth="1"/>
    <x:col min="5" max="5" width="36" hidden="0" customWidth="1"/>
    <x:col min="6" max="6" width="24" hidden="0" customWidth="1"/>
    <x:col min="7" max="7" width="9" hidden="0" customWidth="1"/>
    <x:col min="8" max="8" width="10" hidden="0" customWidth="1"/>
  </x:cols>
  <x:sheetData>
    <x:row r="1" ht="30" customHeight="1">
      <x:c r="A1" s="3" t="str">
        <x:v>洛克工具箱 · 缺陷记录表（roco-toolbox）</x:v>
      </x:c>
      <x:c r="B1" s="3"/>
      <x:c r="C1" s="3"/>
      <x:c r="D1" s="3"/>
      <x:c r="E1" s="3"/>
      <x:c r="F1" s="3"/>
      <x:c r="G1" s="3"/>
      <x:c r="H1" s="3"/>
    </x:row>
    <x:row r="2" ht="20" customHeight="1">
      <x:c r="A2" s="5" t="str">
        <x:v>遇到问题就往下加一行，不用写得很规范：填「在哪／点了什么／看到什么／应该怎样」就够。严重度、状态、在哪都是下拉选择。</x:v>
      </x:c>
      <x:c r="B2" s="5"/>
      <x:c r="C2" s="5"/>
      <x:c r="D2" s="5"/>
      <x:c r="E2" s="5"/>
      <x:c r="F2" s="5"/>
      <x:c r="G2" s="5"/>
      <x:c r="H2" s="5"/>
    </x:row>
    <x:row r="3" ht="6" customHeight="1"/>
    <x:row r="4" ht="24" customHeight="1">
      <x:c r="A4" s="7" t="str">
        <x:v>编号</x:v>
      </x:c>
      <x:c r="B4" s="7" t="str">
        <x:v>日期</x:v>
      </x:c>
      <x:c r="C4" s="7" t="str">
        <x:v>在哪</x:v>
      </x:c>
      <x:c r="D4" s="7" t="str">
        <x:v>操作</x:v>
      </x:c>
      <x:c r="E4" s="7" t="str">
        <x:v>现象</x:v>
      </x:c>
      <x:c r="F4" s="7" t="str">
        <x:v>期望</x:v>
      </x:c>
      <x:c r="G4" s="7" t="str">
        <x:v>严重度</x:v>
      </x:c>
      <x:c r="H4" s="7" t="str">
        <x:v>状态</x:v>
      </x:c>
    </x:row>
    <x:row r="5">
      <x:c r="A5" t="n">
        <x:v>1</x:v>
      </x:c>
      <x:c r="B5" s="8"/>
      <x:c r="C5" s="9"/>
      <x:c r="D5" s="7"/>
      <x:c r="E5" s="7"/>
      <x:c r="F5" s="7"/>
      <x:c r="G5" s="9"/>
      <x:c r="H5" s="9"/>
    </x:row>
    <x:row r="6">
      <x:c r="A6" t="n">
        <x:v>2</x:v>
      </x:c>
      <x:c r="B6" s="8"/>
      <x:c r="C6" s="9"/>
      <x:c r="D6" s="7"/>
      <x:c r="E6" s="7"/>
      <x:c r="F6" s="7"/>
      <x:c r="G6" s="9"/>
      <x:c r="H6" s="9"/>
    </x:row>
    <x:row r="7">
      <x:c r="A7" t="n">
        <x:v>3</x:v>
      </x:c>
      <x:c r="B7" s="8"/>
      <x:c r="C7" s="9"/>
      <x:c r="D7" s="7"/>
      <x:c r="E7" s="7"/>
      <x:c r="F7" s="7"/>
      <x:c r="G7" s="9"/>
      <x:c r="H7" s="9"/>
    </x:row>
    <x:row r="8">
      <x:c r="A8" t="n">
        <x:v>4</x:v>
      </x:c>
      <x:c r="B8" s="8"/>
      <x:c r="C8" s="9"/>
      <x:c r="D8" s="7"/>
      <x:c r="E8" s="7"/>
      <x:c r="F8" s="7"/>
      <x:c r="G8" s="9"/>
      <x:c r="H8" s="9"/>
    </x:row>
    <x:row r="9">
      <x:c r="A9" t="n">
        <x:v>5</x:v>
      </x:c>
      <x:c r="B9" s="8"/>
      <x:c r="C9" s="9"/>
      <x:c r="D9" s="7"/>
      <x:c r="E9" s="7"/>
      <x:c r="F9" s="7"/>
      <x:c r="G9" s="9"/>
      <x:c r="H9" s="9"/>
    </x:row>
    <x:row r="10">
      <x:c r="A10" t="n">
        <x:v>6</x:v>
      </x:c>
      <x:c r="B10" s="8"/>
      <x:c r="C10" s="9"/>
      <x:c r="D10" s="7"/>
      <x:c r="E10" s="7"/>
      <x:c r="F10" s="7"/>
      <x:c r="G10" s="9"/>
      <x:c r="H10" s="9"/>
    </x:row>
    <x:row r="11">
      <x:c r="A11" t="n">
        <x:v>7</x:v>
      </x:c>
      <x:c r="B11" s="8"/>
      <x:c r="C11" s="9"/>
      <x:c r="D11" s="7"/>
      <x:c r="E11" s="7"/>
      <x:c r="F11" s="7"/>
      <x:c r="G11" s="9"/>
      <x:c r="H11" s="9"/>
    </x:row>
    <x:row r="12">
      <x:c r="A12" t="n">
        <x:v>8</x:v>
      </x:c>
      <x:c r="B12" s="8"/>
      <x:c r="C12" s="9"/>
      <x:c r="D12" s="7"/>
      <x:c r="E12" s="7"/>
      <x:c r="F12" s="7"/>
      <x:c r="G12" s="9"/>
      <x:c r="H12" s="9"/>
    </x:row>
    <x:row r="13">
      <x:c r="A13" t="n">
        <x:v>9</x:v>
      </x:c>
      <x:c r="B13" s="8"/>
      <x:c r="C13" s="9"/>
      <x:c r="D13" s="7"/>
      <x:c r="E13" s="7"/>
      <x:c r="F13" s="7"/>
      <x:c r="G13" s="9"/>
      <x:c r="H13" s="9"/>
    </x:row>
    <x:row r="14">
      <x:c r="A14" t="n">
        <x:v>10</x:v>
      </x:c>
      <x:c r="B14" s="8"/>
      <x:c r="C14" s="9"/>
      <x:c r="D14" s="7"/>
      <x:c r="E14" s="7"/>
      <x:c r="F14" s="7"/>
      <x:c r="G14" s="9"/>
      <x:c r="H14" s="9"/>
    </x:row>
    <x:row r="15">
      <x:c r="A15" t="n">
        <x:v>11</x:v>
      </x:c>
      <x:c r="B15" s="8"/>
      <x:c r="C15" s="9"/>
      <x:c r="D15" s="7"/>
      <x:c r="E15" s="7"/>
      <x:c r="F15" s="7"/>
      <x:c r="G15" s="9"/>
      <x:c r="H15" s="9"/>
    </x:row>
    <x:row r="16">
      <x:c r="A16" t="n">
        <x:v>12</x:v>
      </x:c>
      <x:c r="B16" s="8"/>
      <x:c r="C16" s="9"/>
      <x:c r="D16" s="7"/>
      <x:c r="E16" s="7"/>
      <x:c r="F16" s="7"/>
      <x:c r="G16" s="9"/>
      <x:c r="H16" s="9"/>
    </x:row>
    <x:row r="17">
      <x:c r="A17" t="n">
        <x:v>13</x:v>
      </x:c>
      <x:c r="B17" s="8"/>
      <x:c r="C17" s="9"/>
      <x:c r="D17" s="7"/>
      <x:c r="E17" s="7"/>
      <x:c r="F17" s="7"/>
      <x:c r="G17" s="9"/>
      <x:c r="H17" s="9"/>
    </x:row>
    <x:row r="18">
      <x:c r="A18" t="n">
        <x:v>14</x:v>
      </x:c>
      <x:c r="B18" s="8"/>
      <x:c r="C18" s="9"/>
      <x:c r="D18" s="7"/>
      <x:c r="E18" s="7"/>
      <x:c r="F18" s="7"/>
      <x:c r="G18" s="9"/>
      <x:c r="H18" s="9"/>
    </x:row>
    <x:row r="19">
      <x:c r="A19" t="n">
        <x:v>15</x:v>
      </x:c>
      <x:c r="B19" s="8"/>
      <x:c r="C19" s="9"/>
      <x:c r="D19" s="7"/>
      <x:c r="E19" s="7"/>
      <x:c r="F19" s="7"/>
      <x:c r="G19" s="9"/>
      <x:c r="H19" s="9"/>
    </x:row>
    <x:row r="20">
      <x:c r="A20" t="n">
        <x:v>16</x:v>
      </x:c>
      <x:c r="B20" s="8"/>
      <x:c r="C20" s="9"/>
      <x:c r="D20" s="7"/>
      <x:c r="E20" s="7"/>
      <x:c r="F20" s="7"/>
      <x:c r="G20" s="9"/>
      <x:c r="H20" s="9"/>
    </x:row>
    <x:row r="21">
      <x:c r="A21" t="n">
        <x:v>17</x:v>
      </x:c>
      <x:c r="B21" s="8"/>
      <x:c r="C21" s="9"/>
      <x:c r="D21" s="7"/>
      <x:c r="E21" s="7"/>
      <x:c r="F21" s="7"/>
      <x:c r="G21" s="9"/>
      <x:c r="H21" s="9"/>
    </x:row>
    <x:row r="22">
      <x:c r="A22" t="n">
        <x:v>18</x:v>
      </x:c>
      <x:c r="B22" s="8"/>
      <x:c r="C22" s="9"/>
      <x:c r="D22" s="7"/>
      <x:c r="E22" s="7"/>
      <x:c r="F22" s="7"/>
      <x:c r="G22" s="9"/>
      <x:c r="H22" s="9"/>
    </x:row>
    <x:row r="23">
      <x:c r="A23" t="n">
        <x:v>19</x:v>
      </x:c>
      <x:c r="B23" s="8"/>
      <x:c r="C23" s="9"/>
      <x:c r="D23" s="7"/>
      <x:c r="E23" s="7"/>
      <x:c r="F23" s="7"/>
      <x:c r="G23" s="9"/>
      <x:c r="H23" s="9"/>
    </x:row>
    <x:row r="24">
      <x:c r="A24" t="n">
        <x:v>20</x:v>
      </x:c>
      <x:c r="B24" s="8"/>
      <x:c r="C24" s="9"/>
      <x:c r="D24" s="7"/>
      <x:c r="E24" s="7"/>
      <x:c r="F24" s="7"/>
      <x:c r="G24" s="9"/>
      <x:c r="H24" s="9"/>
    </x:row>
    <x:row r="25">
      <x:c r="A25" t="n">
        <x:v>21</x:v>
      </x:c>
      <x:c r="B25" s="8"/>
      <x:c r="C25" s="9"/>
      <x:c r="D25" s="7"/>
      <x:c r="E25" s="7"/>
      <x:c r="F25" s="7"/>
      <x:c r="G25" s="9"/>
      <x:c r="H25" s="9"/>
    </x:row>
    <x:row r="26">
      <x:c r="A26" t="n">
        <x:v>22</x:v>
      </x:c>
      <x:c r="B26" s="8"/>
      <x:c r="C26" s="9"/>
      <x:c r="D26" s="7"/>
      <x:c r="E26" s="7"/>
      <x:c r="F26" s="7"/>
      <x:c r="G26" s="9"/>
      <x:c r="H26" s="9"/>
    </x:row>
    <x:row r="27">
      <x:c r="A27" t="n">
        <x:v>23</x:v>
      </x:c>
      <x:c r="B27" s="8"/>
      <x:c r="C27" s="9"/>
      <x:c r="D27" s="7"/>
      <x:c r="E27" s="7"/>
      <x:c r="F27" s="7"/>
      <x:c r="G27" s="9"/>
      <x:c r="H27" s="9"/>
    </x:row>
    <x:row r="28">
      <x:c r="A28" t="n">
        <x:v>24</x:v>
      </x:c>
      <x:c r="B28" s="8"/>
      <x:c r="C28" s="9"/>
      <x:c r="D28" s="7"/>
      <x:c r="E28" s="7"/>
      <x:c r="F28" s="7"/>
      <x:c r="G28" s="9"/>
      <x:c r="H28" s="9"/>
    </x:row>
    <x:row r="29">
      <x:c r="A29" t="n">
        <x:v>25</x:v>
      </x:c>
      <x:c r="B29" s="8"/>
      <x:c r="C29" s="9"/>
      <x:c r="D29" s="7"/>
      <x:c r="E29" s="7"/>
      <x:c r="F29" s="7"/>
      <x:c r="G29" s="9"/>
      <x:c r="H29" s="9"/>
    </x:row>
    <x:row r="30">
      <x:c r="A30" t="n">
        <x:v>26</x:v>
      </x:c>
      <x:c r="B30" s="8"/>
      <x:c r="C30" s="9"/>
      <x:c r="D30" s="7"/>
      <x:c r="E30" s="7"/>
      <x:c r="F30" s="7"/>
      <x:c r="G30" s="9"/>
      <x:c r="H30" s="9"/>
    </x:row>
    <x:row r="31">
      <x:c r="A31" t="n">
        <x:v>27</x:v>
      </x:c>
      <x:c r="B31" s="8"/>
      <x:c r="C31" s="9"/>
      <x:c r="D31" s="7"/>
      <x:c r="E31" s="7"/>
      <x:c r="F31" s="7"/>
      <x:c r="G31" s="9"/>
      <x:c r="H31" s="9"/>
    </x:row>
    <x:row r="32">
      <x:c r="A32" t="n">
        <x:v>28</x:v>
      </x:c>
      <x:c r="B32" s="8"/>
      <x:c r="C32" s="9"/>
      <x:c r="D32" s="7"/>
      <x:c r="E32" s="7"/>
      <x:c r="F32" s="7"/>
      <x:c r="G32" s="9"/>
      <x:c r="H32" s="9"/>
    </x:row>
    <x:row r="33">
      <x:c r="A33" t="n">
        <x:v>29</x:v>
      </x:c>
      <x:c r="B33" s="8"/>
      <x:c r="C33" s="9"/>
      <x:c r="D33" s="7"/>
      <x:c r="E33" s="7"/>
      <x:c r="F33" s="7"/>
      <x:c r="G33" s="9"/>
      <x:c r="H33" s="9"/>
    </x:row>
    <x:row r="34">
      <x:c r="A34" t="n">
        <x:v>30</x:v>
      </x:c>
      <x:c r="B34" s="8"/>
      <x:c r="C34" s="9"/>
      <x:c r="D34" s="7"/>
      <x:c r="E34" s="7"/>
      <x:c r="F34" s="7"/>
      <x:c r="G34" s="9"/>
      <x:c r="H34" s="9"/>
    </x:row>
    <x:row r="35">
      <x:c r="A35" t="n">
        <x:v>31</x:v>
      </x:c>
      <x:c r="B35" s="8"/>
      <x:c r="C35" s="9"/>
      <x:c r="D35" s="7"/>
      <x:c r="E35" s="7"/>
      <x:c r="F35" s="7"/>
      <x:c r="G35" s="9"/>
      <x:c r="H35" s="9"/>
    </x:row>
    <x:row r="36">
      <x:c r="A36" t="n">
        <x:v>32</x:v>
      </x:c>
      <x:c r="B36" s="8"/>
      <x:c r="C36" s="9"/>
      <x:c r="D36" s="7"/>
      <x:c r="E36" s="7"/>
      <x:c r="F36" s="7"/>
      <x:c r="G36" s="9"/>
      <x:c r="H36" s="9"/>
    </x:row>
    <x:row r="37">
      <x:c r="A37" t="n">
        <x:v>33</x:v>
      </x:c>
      <x:c r="B37" s="8"/>
      <x:c r="C37" s="9"/>
      <x:c r="D37" s="7"/>
      <x:c r="E37" s="7"/>
      <x:c r="F37" s="7"/>
      <x:c r="G37" s="9"/>
      <x:c r="H37" s="9"/>
    </x:row>
    <x:row r="38">
      <x:c r="A38" t="n">
        <x:v>34</x:v>
      </x:c>
      <x:c r="B38" s="8"/>
      <x:c r="C38" s="9"/>
      <x:c r="D38" s="7"/>
      <x:c r="E38" s="7"/>
      <x:c r="F38" s="7"/>
      <x:c r="G38" s="9"/>
      <x:c r="H38" s="9"/>
    </x:row>
    <x:row r="39">
      <x:c r="A39" t="n">
        <x:v>35</x:v>
      </x:c>
      <x:c r="B39" s="8"/>
      <x:c r="C39" s="9"/>
      <x:c r="D39" s="7"/>
      <x:c r="E39" s="7"/>
      <x:c r="F39" s="7"/>
      <x:c r="G39" s="9"/>
      <x:c r="H39" s="9"/>
    </x:row>
    <x:row r="40">
      <x:c r="A40" t="n">
        <x:v>36</x:v>
      </x:c>
      <x:c r="B40" s="8"/>
      <x:c r="C40" s="9"/>
      <x:c r="D40" s="7"/>
      <x:c r="E40" s="7"/>
      <x:c r="F40" s="7"/>
      <x:c r="G40" s="9"/>
      <x:c r="H40" s="9"/>
    </x:row>
    <x:row r="41">
      <x:c r="A41" t="n">
        <x:v>37</x:v>
      </x:c>
      <x:c r="B41" s="8"/>
      <x:c r="C41" s="9"/>
      <x:c r="D41" s="7"/>
      <x:c r="E41" s="7"/>
      <x:c r="F41" s="7"/>
      <x:c r="G41" s="9"/>
      <x:c r="H41" s="9"/>
    </x:row>
    <x:row r="42">
      <x:c r="A42" t="n">
        <x:v>38</x:v>
      </x:c>
      <x:c r="B42" s="8"/>
      <x:c r="C42" s="9"/>
      <x:c r="D42" s="7"/>
      <x:c r="E42" s="7"/>
      <x:c r="F42" s="7"/>
      <x:c r="G42" s="9"/>
      <x:c r="H42" s="9"/>
    </x:row>
    <x:row r="43">
      <x:c r="A43" t="n">
        <x:v>39</x:v>
      </x:c>
      <x:c r="B43" s="8"/>
      <x:c r="C43" s="9"/>
      <x:c r="D43" s="7"/>
      <x:c r="E43" s="7"/>
      <x:c r="F43" s="7"/>
      <x:c r="G43" s="9"/>
      <x:c r="H43" s="9"/>
    </x:row>
    <x:row r="44">
      <x:c r="A44" t="n">
        <x:v>40</x:v>
      </x:c>
      <x:c r="B44" s="8"/>
      <x:c r="C44" s="9"/>
      <x:c r="D44" s="7"/>
      <x:c r="E44" s="7"/>
      <x:c r="F44" s="7"/>
      <x:c r="G44" s="9"/>
      <x:c r="H44" s="9"/>
    </x:row>
  </x:sheetData>
  <x:mergeCells>
    <x:mergeCell ref="A1:H1"/>
    <x:mergeCell ref="A2:H2"/>
  </x:mergeCells>
  <x:conditionalFormatting sqref="G5:G44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conditionalFormatting sqref="H5:H44">
    <x:cfRule type="containsText" dxfId="3" priority="4" operator="containsText" text="待处理"/>
    <x:cfRule type="containsText" dxfId="4" priority="5" operator="containsText" text="修复中"/>
    <x:cfRule type="containsText" dxfId="5" priority="6" operator="containsText" text="已修复"/>
    <x:cfRule type="containsText" dxfId="6" priority="7" operator="containsText" text="不修"/>
  </x:conditionalFormatting>
  <x:dataValidations count="3">
    <x:dataValidation type="list" sqref="C5:C44">
      <x:formula1>"看板,我的精灵,覆盖度,抓什么,配窝建议,导入数据,其他"</x:formula1>
    </x:dataValidation>
    <x:dataValidation type="list" sqref="G5:G44">
      <x:formula1>"高,中,低"</x:formula1>
    </x:dataValidation>
    <x:dataValidation type="list" sqref="H5:H44">
      <x:formula1>"待处理,修复中,已修复,不修"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176624a47d45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</x:cols>
  <x:sheetData>
    <x:row r="1" ht="30" customHeight="1">
      <x:c r="A1" s="3" t="str">
        <x:v>缺陷概览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整体进度</x:v>
      </x:c>
    </x:row>
    <x:row r="4">
      <x:c r="A4" s="11" t="str">
        <x:v>已记录条数</x:v>
      </x:c>
      <x:c r="B4" s="11" t="n">
        <x:f>COUNTA('缺陷记录'!$E$5:$E$44)</x:f>
        <x:v>0</x:v>
      </x:c>
    </x:row>
    <x:row r="5">
      <x:c r="A5" s="12" t="str">
        <x:v>待处理</x:v>
      </x:c>
      <x:c r="B5" s="12" t="n">
        <x:f>COUNTIF('缺陷记录'!$H$5:$H$44,"待处理")</x:f>
        <x:v>0</x:v>
      </x:c>
    </x:row>
    <x:row r="6">
      <x:c r="A6" s="11" t="str">
        <x:v>修复中</x:v>
      </x:c>
      <x:c r="B6" s="11" t="n">
        <x:f>COUNTIF('缺陷记录'!$H$5:$H$44,"修复中")</x:f>
        <x:v>0</x:v>
      </x:c>
    </x:row>
    <x:row r="7">
      <x:c r="A7" s="13" t="str">
        <x:v>已修复</x:v>
      </x:c>
      <x:c r="B7" s="13" t="n">
        <x:f>COUNTIF('缺陷记录'!$H$5:$H$44,"已修复")</x:f>
        <x:v>0</x:v>
      </x:c>
    </x:row>
    <x:row r="8">
      <x:c r="A8" s="11" t="str">
        <x:v>不修</x:v>
      </x:c>
      <x:c r="B8" s="11" t="n">
        <x:f>COUNTIF('缺陷记录'!$H$5:$H$44,"不修")</x:f>
        <x:v>0</x:v>
      </x:c>
    </x:row>
    <x:row r="9">
      <x:c r="A9" s="11" t="str">
        <x:v>未标状态</x:v>
      </x:c>
      <x:c r="B9" s="11" t="n">
        <x:f>B4-B5-B6-B7-B8</x:f>
        <x:v>0</x:v>
      </x:c>
    </x:row>
    <x:row r="11">
      <x:c r="A11" s="15" t="str">
        <x:v>严重度</x:v>
      </x:c>
      <x:c r="B11" s="15" t="str">
        <x:v>条数</x:v>
      </x:c>
    </x:row>
    <x:row r="12">
      <x:c r="A12" s="11" t="str">
        <x:v>高</x:v>
      </x:c>
      <x:c r="B12" s="11" t="n">
        <x:f>COUNTIF('缺陷记录'!$G$5:$G$44,"高")</x:f>
        <x:v>0</x:v>
      </x:c>
    </x:row>
    <x:row r="13">
      <x:c r="A13" s="11" t="str">
        <x:v>中</x:v>
      </x:c>
      <x:c r="B13" s="11" t="n">
        <x:f>COUNTIF('缺陷记录'!$G$5:$G$44,"中")</x:f>
        <x:v>0</x:v>
      </x:c>
    </x:row>
    <x:row r="14">
      <x:c r="A14" s="11" t="str">
        <x:v>低</x:v>
      </x:c>
      <x:c r="B14" s="11" t="n">
        <x:f>COUNTIF('缺陷记录'!$G$5:$G$44,"低")</x:f>
        <x:v>0</x:v>
      </x:c>
    </x:row>
    <x:row r="15">
      <x:c r="A15" s="11" t="str">
        <x:v>未标</x:v>
      </x:c>
      <x:c r="B15" s="11" t="n">
        <x:f>B4-B12-B13-B14</x:f>
        <x:v>0</x:v>
      </x:c>
    </x:row>
    <x:row r="17">
      <x:c r="A17" s="15" t="str">
        <x:v>状态</x:v>
      </x:c>
      <x:c r="B17" s="15" t="str">
        <x:v>条数</x:v>
      </x:c>
    </x:row>
    <x:row r="18">
      <x:c r="A18" s="11" t="str">
        <x:v>待处理</x:v>
      </x:c>
      <x:c r="B18" s="11" t="n">
        <x:f>B5</x:f>
        <x:v>0</x:v>
      </x:c>
    </x:row>
    <x:row r="19">
      <x:c r="A19" s="11" t="str">
        <x:v>修复中</x:v>
      </x:c>
      <x:c r="B19" s="11" t="n">
        <x:f>B6</x:f>
        <x:v>0</x:v>
      </x:c>
    </x:row>
    <x:row r="20">
      <x:c r="A20" s="11" t="str">
        <x:v>已修复</x:v>
      </x:c>
      <x:c r="B20" s="11" t="n">
        <x:f>B7</x:f>
        <x:v>0</x:v>
      </x:c>
    </x:row>
    <x:row r="21">
      <x:c r="A21" s="11" t="str">
        <x:v>不修</x:v>
      </x:c>
      <x:c r="B21" s="11" t="n">
        <x:f>B8</x:f>
        <x:v>0</x:v>
      </x:c>
    </x:row>
    <x:row r="24">
      <x:c r="A24" s="4" t="str">
        <x:v>说明：数字会自动跟着「缺陷记录」表变化，不用手动改。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e97840ab6e6446cc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30" customHeight="1">
      <x:c r="A1" s="3" t="str">
        <x:v>填写说明</x:v>
      </x:c>
      <x:c r="B1" s="3"/>
    </x:row>
    <x:row r="3">
      <x:c r="A3" s="15" t="str">
        <x:v>列</x:v>
      </x:c>
      <x:c r="B3" s="15" t="str">
        <x:v>怎么填</x:v>
      </x:c>
    </x:row>
    <x:row r="4">
      <x:c r="A4" s="16" t="str">
        <x:v>编号</x:v>
      </x:c>
      <x:c r="B4" s="6" t="str">
        <x:v>自动排好 1、2、3……按顺序往下加就行，不用改。</x:v>
      </x:c>
    </x:row>
    <x:row r="5">
      <x:c r="A5" s="16" t="str">
        <x:v>日期</x:v>
      </x:c>
      <x:c r="B5" s="6" t="str">
        <x:v>写个大概日期就行，比如 09-26。</x:v>
      </x:c>
    </x:row>
    <x:row r="6">
      <x:c r="A6" s="16" t="str">
        <x:v>在哪</x:v>
      </x:c>
      <x:c r="B6" s="6" t="str">
        <x:v>下拉选：看板 / 我的精灵 / 覆盖度 / 抓什么 / 配窝建议 / 导入数据 / 其他。</x:v>
      </x:c>
    </x:row>
    <x:row r="7">
      <x:c r="A7" s="16" t="str">
        <x:v>操作</x:v>
      </x:c>
      <x:c r="B7" s="6" t="str">
        <x:v>你当时点了什么、选了哪个标签。</x:v>
      </x:c>
    </x:row>
    <x:row r="8">
      <x:c r="A8" s="16" t="str">
        <x:v>现象</x:v>
      </x:c>
      <x:c r="B8" s="6" t="str">
        <x:v>看到什么不对（越具体越好：文字错、数字不对、按钮点不动、卡顿……）。</x:v>
      </x:c>
    </x:row>
    <x:row r="9">
      <x:c r="A9" s="16" t="str">
        <x:v>期望</x:v>
      </x:c>
      <x:c r="B9" s="6" t="str">
        <x:v>你觉得应该是什么样。</x:v>
      </x:c>
    </x:row>
    <x:row r="10">
      <x:c r="A10" s="16" t="str">
        <x:v>严重度</x:v>
      </x:c>
      <x:c r="B10" s="6" t="str">
        <x:v>下拉选：高（用不了／数据错） / 中（别扭但能用） / 低（纯观感）。</x:v>
      </x:c>
    </x:row>
    <x:row r="11">
      <x:c r="A11" s="16" t="str">
        <x:v>状态</x:v>
      </x:c>
      <x:c r="B11" s="6" t="str">
        <x:v>下拉选：待处理 / 修复中 / 已修复 / 不修。留空就当「待处理」。</x:v>
      </x:c>
    </x:row>
    <x:row r="14">
      <x:c r="A14" s="10" t="str">
        <x:v>怎么记（挑顺手的）</x:v>
      </x:c>
    </x:row>
    <x:row r="15">
      <x:c r="A15" t="str">
        <x:v>手机：</x:v>
      </x:c>
      <x:c r="B15" s="6" t="str">
        <x:v>先记在手机备忘录 / 微信文件传输助手，回到电脑复制进「缺陷记录」表。</x:v>
      </x:c>
    </x:row>
    <x:row r="16">
      <x:c r="A16" t="str">
        <x:v>电脑：</x:v>
      </x:c>
      <x:c r="B16" s="6" t="str">
        <x:v>直接在「缺陷记录」表里加一行。</x:v>
      </x:c>
    </x:row>
    <x:row r="17">
      <x:c r="A17" t="str">
        <x:v>懒得记：</x:v>
      </x:c>
      <x:c r="B17" s="6" t="str">
        <x:v>直接在对话里跟我说「记一条缺陷：……」，我帮你填。</x:v>
      </x:c>
    </x:row>
  </x:sheetData>
  <x:mergeCells>
    <x:mergeCell ref="A1:B1"/>
  </x:mergeCells>
  <x:pageMargins left="0.7" right="0.7" top="0.75" bottom="0.75" header="0.3" footer="0.3"/>
</x:worksheet>
</file>